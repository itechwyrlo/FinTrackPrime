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structions" sheetId="1" state="visible" r:id="rId1"/>
    <sheet xmlns:r="http://schemas.openxmlformats.org/officeDocument/2006/relationships" name="Portfolio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004B87"/>
      <sz val="18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b val="1"/>
      <color rgb="00111827"/>
      <sz val="11"/>
    </font>
    <font>
      <name val="Segoe UI"/>
      <color rgb="00111827"/>
      <sz val="11"/>
    </font>
  </fonts>
  <fills count="4">
    <fill>
      <patternFill/>
    </fill>
    <fill>
      <patternFill patternType="gray125"/>
    </fill>
    <fill>
      <patternFill patternType="solid">
        <fgColor rgb="00004B87"/>
        <bgColor rgb="00004B87"/>
      </patternFill>
    </fill>
    <fill>
      <patternFill patternType="solid">
        <fgColor rgb="00EAEAEA"/>
        <bgColor rgb="00EAEA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4" fillId="3" borderId="2" pivotButton="0" quotePrefix="0" xfId="0"/>
    <xf numFmtId="0" fontId="0" fillId="3" borderId="2" pivotButton="0" quotePrefix="0" xfId="0"/>
    <xf numFmtId="164" fontId="4" fillId="3" borderId="2" applyAlignment="1" pivotButton="0" quotePrefix="0" xfId="0">
      <alignment horizontal="right" vertical="center"/>
    </xf>
    <xf numFmtId="10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64" customWidth="1" min="1" max="1"/>
  </cols>
  <sheetData>
    <row r="1"/>
    <row r="2">
      <c r="A2" s="1" t="inlineStr">
        <is>
          <t>FinTrack Prime - Investment Portfolio Tracker</t>
        </is>
      </c>
    </row>
    <row r="3">
      <c r="A3" s="2" t="inlineStr">
        <is>
          <t>Real-Time Asset Allocation &amp; Portfolio Performance 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8" customWidth="1" min="4" max="4"/>
    <col width="17" customWidth="1" min="5" max="5"/>
    <col width="15" customWidth="1" min="6" max="6"/>
    <col width="17" customWidth="1" min="7" max="7"/>
    <col width="19" customWidth="1" min="8" max="8"/>
    <col width="12" customWidth="1" min="9" max="9"/>
  </cols>
  <sheetData>
    <row r="1"/>
    <row r="2"/>
    <row r="3"/>
    <row r="4">
      <c r="A4" s="3" t="inlineStr">
        <is>
          <t>Ticker</t>
        </is>
      </c>
      <c r="B4" s="3" t="inlineStr">
        <is>
          <t>Asset Class</t>
        </is>
      </c>
      <c r="C4" s="3" t="inlineStr">
        <is>
          <t>Quantity</t>
        </is>
      </c>
      <c r="D4" s="3" t="inlineStr">
        <is>
          <t>Purchase Price</t>
        </is>
      </c>
      <c r="E4" s="3" t="inlineStr">
        <is>
          <t>Current Price</t>
        </is>
      </c>
      <c r="F4" s="3" t="inlineStr">
        <is>
          <t>Cost Basis</t>
        </is>
      </c>
      <c r="G4" s="3" t="inlineStr">
        <is>
          <t>Current Value</t>
        </is>
      </c>
      <c r="H4" s="3" t="inlineStr">
        <is>
          <t>Total Gain/Loss</t>
        </is>
      </c>
      <c r="I4" s="3" t="inlineStr">
        <is>
          <t>ROI</t>
        </is>
      </c>
    </row>
    <row r="5">
      <c r="A5" s="4" t="inlineStr">
        <is>
          <t>SPY</t>
        </is>
      </c>
      <c r="B5" s="5" t="inlineStr">
        <is>
          <t>Equities</t>
        </is>
      </c>
      <c r="C5" s="6" t="n">
        <v>50</v>
      </c>
      <c r="D5" s="7" t="n">
        <v>380</v>
      </c>
      <c r="E5" s="7" t="n">
        <v>510</v>
      </c>
      <c r="F5" s="7">
        <f>C5*D5</f>
        <v/>
      </c>
      <c r="G5" s="7">
        <f>C5*E5</f>
        <v/>
      </c>
      <c r="H5" s="7">
        <f>G5-F5</f>
        <v/>
      </c>
      <c r="I5" s="8">
        <f>H5/F5</f>
        <v/>
      </c>
    </row>
    <row r="6">
      <c r="A6" s="4" t="inlineStr">
        <is>
          <t>QQQ</t>
        </is>
      </c>
      <c r="B6" s="5" t="inlineStr">
        <is>
          <t>Equities</t>
        </is>
      </c>
      <c r="C6" s="6" t="n">
        <v>30</v>
      </c>
      <c r="D6" s="7" t="n">
        <v>290</v>
      </c>
      <c r="E6" s="7" t="n">
        <v>440</v>
      </c>
      <c r="F6" s="7">
        <f>C6*D6</f>
        <v/>
      </c>
      <c r="G6" s="7">
        <f>C6*E6</f>
        <v/>
      </c>
      <c r="H6" s="7">
        <f>G6-F6</f>
        <v/>
      </c>
      <c r="I6" s="8">
        <f>H6/F6</f>
        <v/>
      </c>
    </row>
    <row r="7">
      <c r="A7" s="4" t="inlineStr">
        <is>
          <t>AGG</t>
        </is>
      </c>
      <c r="B7" s="5" t="inlineStr">
        <is>
          <t>Fixed Income</t>
        </is>
      </c>
      <c r="C7" s="6" t="n">
        <v>100</v>
      </c>
      <c r="D7" s="7" t="n">
        <v>102</v>
      </c>
      <c r="E7" s="7" t="n">
        <v>98</v>
      </c>
      <c r="F7" s="7">
        <f>C7*D7</f>
        <v/>
      </c>
      <c r="G7" s="7">
        <f>C7*E7</f>
        <v/>
      </c>
      <c r="H7" s="7">
        <f>G7-F7</f>
        <v/>
      </c>
      <c r="I7" s="8">
        <f>H7/F7</f>
        <v/>
      </c>
    </row>
    <row r="8">
      <c r="A8" s="4" t="inlineStr">
        <is>
          <t>VNQ</t>
        </is>
      </c>
      <c r="B8" s="5" t="inlineStr">
        <is>
          <t>Real Estate</t>
        </is>
      </c>
      <c r="C8" s="6" t="n">
        <v>80</v>
      </c>
      <c r="D8" s="7" t="n">
        <v>85</v>
      </c>
      <c r="E8" s="7" t="n">
        <v>92</v>
      </c>
      <c r="F8" s="7">
        <f>C8*D8</f>
        <v/>
      </c>
      <c r="G8" s="7">
        <f>C8*E8</f>
        <v/>
      </c>
      <c r="H8" s="7">
        <f>G8-F8</f>
        <v/>
      </c>
      <c r="I8" s="8">
        <f>H8/F8</f>
        <v/>
      </c>
    </row>
    <row r="9">
      <c r="A9" s="4" t="inlineStr">
        <is>
          <t>GLD</t>
        </is>
      </c>
      <c r="B9" s="5" t="inlineStr">
        <is>
          <t>Commodities</t>
        </is>
      </c>
      <c r="C9" s="6" t="n">
        <v>20</v>
      </c>
      <c r="D9" s="7" t="n">
        <v>170</v>
      </c>
      <c r="E9" s="7" t="n">
        <v>220</v>
      </c>
      <c r="F9" s="7">
        <f>C9*D9</f>
        <v/>
      </c>
      <c r="G9" s="7">
        <f>C9*E9</f>
        <v/>
      </c>
      <c r="H9" s="7">
        <f>G9-F9</f>
        <v/>
      </c>
      <c r="I9" s="8">
        <f>H9/F9</f>
        <v/>
      </c>
    </row>
    <row r="10">
      <c r="A10" s="9" t="inlineStr">
        <is>
          <t>Total Portfolio</t>
        </is>
      </c>
      <c r="B10" s="10" t="n"/>
      <c r="C10" s="10" t="n"/>
      <c r="D10" s="10" t="n"/>
      <c r="E10" s="10" t="n"/>
      <c r="F10" s="11">
        <f>SUM(F5:F9)</f>
        <v/>
      </c>
      <c r="G10" s="11">
        <f>SUM(G5:G9)</f>
        <v/>
      </c>
      <c r="H10" s="11">
        <f>SUM(H5:H9)</f>
        <v/>
      </c>
      <c r="I10" s="12">
        <f>H10/F10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2026-07-14T15:02:52Z</dcterms:created>
  <dcterms:modified xmlns:dcterms="http://purl.org/dc/terms/" xmlns:xsi="http://www.w3.org/2001/XMLSchema-instance" xsi:type="dcterms:W3CDTF">2026-07-14T15:02:52Z</dcterms:modified>
</cp:coreProperties>
</file>
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Retirement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004B87"/>
      <sz val="14"/>
    </font>
    <font>
      <name val="Segoe UI"/>
      <color rgb="00111827"/>
      <sz val="11"/>
    </font>
    <font>
      <name val="Segoe UI"/>
      <b val="1"/>
      <color rgb="00111827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  <bgColor rgb="00004B8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s="1" t="inlineStr">
        <is>
          <t>FinTrack Prime - Retirement Planner</t>
        </is>
      </c>
    </row>
    <row r="3">
      <c r="A3" s="2" t="inlineStr">
        <is>
          <t>Long-Term Capital Projection &amp; Wealth Preservation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6" customWidth="1" min="7" max="7"/>
    <col width="38" customWidth="1" min="8" max="8"/>
    <col width="28" customWidth="1" min="9" max="9"/>
    <col width="20" customWidth="1" min="10" max="10"/>
  </cols>
  <sheetData>
    <row r="1"/>
    <row r="2"/>
    <row r="3"/>
    <row r="4">
      <c r="A4" s="3" t="inlineStr">
        <is>
          <t>Assumptions &amp; Inputs</t>
        </is>
      </c>
      <c r="D4" s="4" t="inlineStr">
        <is>
          <t>Age</t>
        </is>
      </c>
      <c r="E4" s="4" t="inlineStr">
        <is>
          <t>Year</t>
        </is>
      </c>
      <c r="F4" s="4" t="inlineStr">
        <is>
          <t>Starting Balance</t>
        </is>
      </c>
      <c r="G4" s="4" t="inlineStr">
        <is>
          <t>Contribution</t>
        </is>
      </c>
      <c r="H4" s="4" t="inlineStr">
        <is>
          <t>Investment Growth</t>
        </is>
      </c>
      <c r="I4" s="4" t="inlineStr">
        <is>
          <t>Drawdown</t>
        </is>
      </c>
      <c r="J4" s="4" t="inlineStr">
        <is>
          <t>Ending Balance</t>
        </is>
      </c>
    </row>
    <row r="5">
      <c r="A5" s="5" t="inlineStr">
        <is>
          <t>Current Age</t>
        </is>
      </c>
      <c r="B5" s="6" t="n">
        <v>30</v>
      </c>
      <c r="D5" s="7" t="n">
        <v>30</v>
      </c>
      <c r="E5" s="7" t="n">
        <v>2026</v>
      </c>
      <c r="F5" s="8">
        <f>B7</f>
        <v/>
      </c>
      <c r="G5" s="8">
        <f>IF(D5&lt;$B$6, $B$8, 0)</f>
        <v/>
      </c>
      <c r="H5" s="8">
        <f>IF(D5&lt;$B$6, F5*$B$9, F5*$B$10)</f>
        <v/>
      </c>
      <c r="I5" s="8">
        <f>IF(D5&gt;=$B$6, $B$11, 0)</f>
        <v/>
      </c>
      <c r="J5" s="9">
        <f>F5+G5+H5-I5</f>
        <v/>
      </c>
    </row>
    <row r="6">
      <c r="A6" s="5" t="inlineStr">
        <is>
          <t>Target Retirement Age</t>
        </is>
      </c>
      <c r="B6" s="6" t="n">
        <v>65</v>
      </c>
      <c r="D6" s="7" t="n">
        <v>31</v>
      </c>
      <c r="E6" s="7" t="n">
        <v>2027</v>
      </c>
      <c r="F6" s="8">
        <f>J5</f>
        <v/>
      </c>
      <c r="G6" s="8">
        <f>IF(D6&lt;$B$6, $B$8, 0)</f>
        <v/>
      </c>
      <c r="H6" s="8">
        <f>IF(D6&lt;$B$6, F6*$B$9, F6*$B$10)</f>
        <v/>
      </c>
      <c r="I6" s="8">
        <f>IF(D6&gt;=$B$6, $B$11, 0)</f>
        <v/>
      </c>
      <c r="J6" s="9">
        <f>F6+G6+H6-I6</f>
        <v/>
      </c>
    </row>
    <row r="7">
      <c r="A7" s="5" t="inlineStr">
        <is>
          <t>Current Savings Balance</t>
        </is>
      </c>
      <c r="B7" s="10" t="n">
        <v>50000</v>
      </c>
      <c r="D7" s="7" t="n">
        <v>32</v>
      </c>
      <c r="E7" s="7" t="n">
        <v>2028</v>
      </c>
      <c r="F7" s="8">
        <f>J6</f>
        <v/>
      </c>
      <c r="G7" s="8">
        <f>IF(D7&lt;$B$6, $B$8, 0)</f>
        <v/>
      </c>
      <c r="H7" s="8">
        <f>IF(D7&lt;$B$6, F7*$B$9, F7*$B$10)</f>
        <v/>
      </c>
      <c r="I7" s="8">
        <f>IF(D7&gt;=$B$6, $B$11, 0)</f>
        <v/>
      </c>
      <c r="J7" s="9">
        <f>F7+G7+H7-I7</f>
        <v/>
      </c>
    </row>
    <row r="8">
      <c r="A8" s="5" t="inlineStr">
        <is>
          <t>Annual Contribution</t>
        </is>
      </c>
      <c r="B8" s="10" t="n">
        <v>12000</v>
      </c>
      <c r="D8" s="7" t="n">
        <v>33</v>
      </c>
      <c r="E8" s="7" t="n">
        <v>2029</v>
      </c>
      <c r="F8" s="8">
        <f>J7</f>
        <v/>
      </c>
      <c r="G8" s="8">
        <f>IF(D8&lt;$B$6, $B$8, 0)</f>
        <v/>
      </c>
      <c r="H8" s="8">
        <f>IF(D8&lt;$B$6, F8*$B$9, F8*$B$10)</f>
        <v/>
      </c>
      <c r="I8" s="8">
        <f>IF(D8&gt;=$B$6, $B$11, 0)</f>
        <v/>
      </c>
      <c r="J8" s="9">
        <f>F8+G8+H8-I8</f>
        <v/>
      </c>
    </row>
    <row r="9">
      <c r="A9" s="5" t="inlineStr">
        <is>
          <t>Pre-Retirement Return Rate</t>
        </is>
      </c>
      <c r="B9" s="11" t="n">
        <v>0.07000000000000001</v>
      </c>
      <c r="D9" s="7" t="n">
        <v>34</v>
      </c>
      <c r="E9" s="7" t="n">
        <v>2030</v>
      </c>
      <c r="F9" s="8">
        <f>J8</f>
        <v/>
      </c>
      <c r="G9" s="8">
        <f>IF(D9&lt;$B$6, $B$8, 0)</f>
        <v/>
      </c>
      <c r="H9" s="8">
        <f>IF(D9&lt;$B$6, F9*$B$9, F9*$B$10)</f>
        <v/>
      </c>
      <c r="I9" s="8">
        <f>IF(D9&gt;=$B$6, $B$11, 0)</f>
        <v/>
      </c>
      <c r="J9" s="9">
        <f>F9+G9+H9-I9</f>
        <v/>
      </c>
    </row>
    <row r="10">
      <c r="A10" s="5" t="inlineStr">
        <is>
          <t>Post-Retirement Return Rate</t>
        </is>
      </c>
      <c r="B10" s="11" t="n">
        <v>0.04</v>
      </c>
      <c r="D10" s="7" t="n">
        <v>35</v>
      </c>
      <c r="E10" s="7" t="n">
        <v>2031</v>
      </c>
      <c r="F10" s="8">
        <f>J9</f>
        <v/>
      </c>
      <c r="G10" s="8">
        <f>IF(D10&lt;$B$6, $B$8, 0)</f>
        <v/>
      </c>
      <c r="H10" s="8">
        <f>IF(D10&lt;$B$6, F10*$B$9, F10*$B$10)</f>
        <v/>
      </c>
      <c r="I10" s="8">
        <f>IF(D10&gt;=$B$6, $B$11, 0)</f>
        <v/>
      </c>
      <c r="J10" s="9">
        <f>F10+G10+H10-I10</f>
        <v/>
      </c>
    </row>
    <row r="11">
      <c r="A11" s="5" t="inlineStr">
        <is>
          <t>Annual Retirement Drawdown</t>
        </is>
      </c>
      <c r="B11" s="10" t="n">
        <v>60000</v>
      </c>
      <c r="D11" s="7" t="n">
        <v>36</v>
      </c>
      <c r="E11" s="7" t="n">
        <v>2032</v>
      </c>
      <c r="F11" s="8">
        <f>J10</f>
        <v/>
      </c>
      <c r="G11" s="8">
        <f>IF(D11&lt;$B$6, $B$8, 0)</f>
        <v/>
      </c>
      <c r="H11" s="8">
        <f>IF(D11&lt;$B$6, F11*$B$9, F11*$B$10)</f>
        <v/>
      </c>
      <c r="I11" s="8">
        <f>IF(D11&gt;=$B$6, $B$11, 0)</f>
        <v/>
      </c>
      <c r="J11" s="9">
        <f>F11+G11+H11-I11</f>
        <v/>
      </c>
    </row>
    <row r="12">
      <c r="D12" s="7" t="n">
        <v>37</v>
      </c>
      <c r="E12" s="7" t="n">
        <v>2033</v>
      </c>
      <c r="F12" s="8">
        <f>J11</f>
        <v/>
      </c>
      <c r="G12" s="8">
        <f>IF(D12&lt;$B$6, $B$8, 0)</f>
        <v/>
      </c>
      <c r="H12" s="8">
        <f>IF(D12&lt;$B$6, F12*$B$9, F12*$B$10)</f>
        <v/>
      </c>
      <c r="I12" s="8">
        <f>IF(D12&gt;=$B$6, $B$11, 0)</f>
        <v/>
      </c>
      <c r="J12" s="9">
        <f>F12+G12+H12-I12</f>
        <v/>
      </c>
    </row>
    <row r="13">
      <c r="D13" s="7" t="n">
        <v>38</v>
      </c>
      <c r="E13" s="7" t="n">
        <v>2034</v>
      </c>
      <c r="F13" s="8">
        <f>J12</f>
        <v/>
      </c>
      <c r="G13" s="8">
        <f>IF(D13&lt;$B$6, $B$8, 0)</f>
        <v/>
      </c>
      <c r="H13" s="8">
        <f>IF(D13&lt;$B$6, F13*$B$9, F13*$B$10)</f>
        <v/>
      </c>
      <c r="I13" s="8">
        <f>IF(D13&gt;=$B$6, $B$11, 0)</f>
        <v/>
      </c>
      <c r="J13" s="9">
        <f>F13+G13+H13-I13</f>
        <v/>
      </c>
    </row>
    <row r="14">
      <c r="D14" s="7" t="n">
        <v>39</v>
      </c>
      <c r="E14" s="7" t="n">
        <v>2035</v>
      </c>
      <c r="F14" s="8">
        <f>J13</f>
        <v/>
      </c>
      <c r="G14" s="8">
        <f>IF(D14&lt;$B$6, $B$8, 0)</f>
        <v/>
      </c>
      <c r="H14" s="8">
        <f>IF(D14&lt;$B$6, F14*$B$9, F14*$B$10)</f>
        <v/>
      </c>
      <c r="I14" s="8">
        <f>IF(D14&gt;=$B$6, $B$11, 0)</f>
        <v/>
      </c>
      <c r="J14" s="9">
        <f>F14+G14+H14-I14</f>
        <v/>
      </c>
    </row>
    <row r="15">
      <c r="D15" s="7" t="n">
        <v>40</v>
      </c>
      <c r="E15" s="7" t="n">
        <v>2036</v>
      </c>
      <c r="F15" s="8">
        <f>J14</f>
        <v/>
      </c>
      <c r="G15" s="8">
        <f>IF(D15&lt;$B$6, $B$8, 0)</f>
        <v/>
      </c>
      <c r="H15" s="8">
        <f>IF(D15&lt;$B$6, F15*$B$9, F15*$B$10)</f>
        <v/>
      </c>
      <c r="I15" s="8">
        <f>IF(D15&gt;=$B$6, $B$11, 0)</f>
        <v/>
      </c>
      <c r="J15" s="9">
        <f>F15+G15+H15-I15</f>
        <v/>
      </c>
    </row>
    <row r="16">
      <c r="D16" s="7" t="n">
        <v>41</v>
      </c>
      <c r="E16" s="7" t="n">
        <v>2037</v>
      </c>
      <c r="F16" s="8">
        <f>J15</f>
        <v/>
      </c>
      <c r="G16" s="8">
        <f>IF(D16&lt;$B$6, $B$8, 0)</f>
        <v/>
      </c>
      <c r="H16" s="8">
        <f>IF(D16&lt;$B$6, F16*$B$9, F16*$B$10)</f>
        <v/>
      </c>
      <c r="I16" s="8">
        <f>IF(D16&gt;=$B$6, $B$11, 0)</f>
        <v/>
      </c>
      <c r="J16" s="9">
        <f>F16+G16+H16-I16</f>
        <v/>
      </c>
    </row>
    <row r="17">
      <c r="D17" s="7" t="n">
        <v>42</v>
      </c>
      <c r="E17" s="7" t="n">
        <v>2038</v>
      </c>
      <c r="F17" s="8">
        <f>J16</f>
        <v/>
      </c>
      <c r="G17" s="8">
        <f>IF(D17&lt;$B$6, $B$8, 0)</f>
        <v/>
      </c>
      <c r="H17" s="8">
        <f>IF(D17&lt;$B$6, F17*$B$9, F17*$B$10)</f>
        <v/>
      </c>
      <c r="I17" s="8">
        <f>IF(D17&gt;=$B$6, $B$11, 0)</f>
        <v/>
      </c>
      <c r="J17" s="9">
        <f>F17+G17+H17-I17</f>
        <v/>
      </c>
    </row>
    <row r="18">
      <c r="D18" s="7" t="n">
        <v>43</v>
      </c>
      <c r="E18" s="7" t="n">
        <v>2039</v>
      </c>
      <c r="F18" s="8">
        <f>J17</f>
        <v/>
      </c>
      <c r="G18" s="8">
        <f>IF(D18&lt;$B$6, $B$8, 0)</f>
        <v/>
      </c>
      <c r="H18" s="8">
        <f>IF(D18&lt;$B$6, F18*$B$9, F18*$B$10)</f>
        <v/>
      </c>
      <c r="I18" s="8">
        <f>IF(D18&gt;=$B$6, $B$11, 0)</f>
        <v/>
      </c>
      <c r="J18" s="9">
        <f>F18+G18+H18-I18</f>
        <v/>
      </c>
    </row>
    <row r="19">
      <c r="D19" s="7" t="n">
        <v>44</v>
      </c>
      <c r="E19" s="7" t="n">
        <v>2040</v>
      </c>
      <c r="F19" s="8">
        <f>J18</f>
        <v/>
      </c>
      <c r="G19" s="8">
        <f>IF(D19&lt;$B$6, $B$8, 0)</f>
        <v/>
      </c>
      <c r="H19" s="8">
        <f>IF(D19&lt;$B$6, F19*$B$9, F19*$B$10)</f>
        <v/>
      </c>
      <c r="I19" s="8">
        <f>IF(D19&gt;=$B$6, $B$11, 0)</f>
        <v/>
      </c>
      <c r="J19" s="9">
        <f>F19+G19+H19-I19</f>
        <v/>
      </c>
    </row>
    <row r="20">
      <c r="D20" s="7" t="n">
        <v>45</v>
      </c>
      <c r="E20" s="7" t="n">
        <v>2041</v>
      </c>
      <c r="F20" s="8">
        <f>J19</f>
        <v/>
      </c>
      <c r="G20" s="8">
        <f>IF(D20&lt;$B$6, $B$8, 0)</f>
        <v/>
      </c>
      <c r="H20" s="8">
        <f>IF(D20&lt;$B$6, F20*$B$9, F20*$B$10)</f>
        <v/>
      </c>
      <c r="I20" s="8">
        <f>IF(D20&gt;=$B$6, $B$11, 0)</f>
        <v/>
      </c>
      <c r="J20" s="9">
        <f>F20+G20+H20-I20</f>
        <v/>
      </c>
    </row>
    <row r="21">
      <c r="D21" s="7" t="n">
        <v>46</v>
      </c>
      <c r="E21" s="7" t="n">
        <v>2042</v>
      </c>
      <c r="F21" s="8">
        <f>J20</f>
        <v/>
      </c>
      <c r="G21" s="8">
        <f>IF(D21&lt;$B$6, $B$8, 0)</f>
        <v/>
      </c>
      <c r="H21" s="8">
        <f>IF(D21&lt;$B$6, F21*$B$9, F21*$B$10)</f>
        <v/>
      </c>
      <c r="I21" s="8">
        <f>IF(D21&gt;=$B$6, $B$11, 0)</f>
        <v/>
      </c>
      <c r="J21" s="9">
        <f>F21+G21+H21-I21</f>
        <v/>
      </c>
    </row>
    <row r="22">
      <c r="D22" s="7" t="n">
        <v>47</v>
      </c>
      <c r="E22" s="7" t="n">
        <v>2043</v>
      </c>
      <c r="F22" s="8">
        <f>J21</f>
        <v/>
      </c>
      <c r="G22" s="8">
        <f>IF(D22&lt;$B$6, $B$8, 0)</f>
        <v/>
      </c>
      <c r="H22" s="8">
        <f>IF(D22&lt;$B$6, F22*$B$9, F22*$B$10)</f>
        <v/>
      </c>
      <c r="I22" s="8">
        <f>IF(D22&gt;=$B$6, $B$11, 0)</f>
        <v/>
      </c>
      <c r="J22" s="9">
        <f>F22+G22+H22-I22</f>
        <v/>
      </c>
    </row>
    <row r="23">
      <c r="D23" s="7" t="n">
        <v>48</v>
      </c>
      <c r="E23" s="7" t="n">
        <v>2044</v>
      </c>
      <c r="F23" s="8">
        <f>J22</f>
        <v/>
      </c>
      <c r="G23" s="8">
        <f>IF(D23&lt;$B$6, $B$8, 0)</f>
        <v/>
      </c>
      <c r="H23" s="8">
        <f>IF(D23&lt;$B$6, F23*$B$9, F23*$B$10)</f>
        <v/>
      </c>
      <c r="I23" s="8">
        <f>IF(D23&gt;=$B$6, $B$11, 0)</f>
        <v/>
      </c>
      <c r="J23" s="9">
        <f>F23+G23+H23-I23</f>
        <v/>
      </c>
    </row>
    <row r="24">
      <c r="D24" s="7" t="n">
        <v>49</v>
      </c>
      <c r="E24" s="7" t="n">
        <v>2045</v>
      </c>
      <c r="F24" s="8">
        <f>J23</f>
        <v/>
      </c>
      <c r="G24" s="8">
        <f>IF(D24&lt;$B$6, $B$8, 0)</f>
        <v/>
      </c>
      <c r="H24" s="8">
        <f>IF(D24&lt;$B$6, F24*$B$9, F24*$B$10)</f>
        <v/>
      </c>
      <c r="I24" s="8">
        <f>IF(D24&gt;=$B$6, $B$11, 0)</f>
        <v/>
      </c>
      <c r="J24" s="9">
        <f>F24+G24+H24-I24</f>
        <v/>
      </c>
    </row>
    <row r="25">
      <c r="D25" s="7" t="n">
        <v>50</v>
      </c>
      <c r="E25" s="7" t="n">
        <v>2046</v>
      </c>
      <c r="F25" s="8">
        <f>J24</f>
        <v/>
      </c>
      <c r="G25" s="8">
        <f>IF(D25&lt;$B$6, $B$8, 0)</f>
        <v/>
      </c>
      <c r="H25" s="8">
        <f>IF(D25&lt;$B$6, F25*$B$9, F25*$B$10)</f>
        <v/>
      </c>
      <c r="I25" s="8">
        <f>IF(D25&gt;=$B$6, $B$11, 0)</f>
        <v/>
      </c>
      <c r="J25" s="9">
        <f>F25+G25+H25-I25</f>
        <v/>
      </c>
    </row>
    <row r="26">
      <c r="D26" s="7" t="n">
        <v>51</v>
      </c>
      <c r="E26" s="7" t="n">
        <v>2047</v>
      </c>
      <c r="F26" s="8">
        <f>J25</f>
        <v/>
      </c>
      <c r="G26" s="8">
        <f>IF(D26&lt;$B$6, $B$8, 0)</f>
        <v/>
      </c>
      <c r="H26" s="8">
        <f>IF(D26&lt;$B$6, F26*$B$9, F26*$B$10)</f>
        <v/>
      </c>
      <c r="I26" s="8">
        <f>IF(D26&gt;=$B$6, $B$11, 0)</f>
        <v/>
      </c>
      <c r="J26" s="9">
        <f>F26+G26+H26-I26</f>
        <v/>
      </c>
    </row>
    <row r="27">
      <c r="D27" s="7" t="n">
        <v>52</v>
      </c>
      <c r="E27" s="7" t="n">
        <v>2048</v>
      </c>
      <c r="F27" s="8">
        <f>J26</f>
        <v/>
      </c>
      <c r="G27" s="8">
        <f>IF(D27&lt;$B$6, $B$8, 0)</f>
        <v/>
      </c>
      <c r="H27" s="8">
        <f>IF(D27&lt;$B$6, F27*$B$9, F27*$B$10)</f>
        <v/>
      </c>
      <c r="I27" s="8">
        <f>IF(D27&gt;=$B$6, $B$11, 0)</f>
        <v/>
      </c>
      <c r="J27" s="9">
        <f>F27+G27+H27-I27</f>
        <v/>
      </c>
    </row>
    <row r="28">
      <c r="D28" s="7" t="n">
        <v>53</v>
      </c>
      <c r="E28" s="7" t="n">
        <v>2049</v>
      </c>
      <c r="F28" s="8">
        <f>J27</f>
        <v/>
      </c>
      <c r="G28" s="8">
        <f>IF(D28&lt;$B$6, $B$8, 0)</f>
        <v/>
      </c>
      <c r="H28" s="8">
        <f>IF(D28&lt;$B$6, F28*$B$9, F28*$B$10)</f>
        <v/>
      </c>
      <c r="I28" s="8">
        <f>IF(D28&gt;=$B$6, $B$11, 0)</f>
        <v/>
      </c>
      <c r="J28" s="9">
        <f>F28+G28+H28-I28</f>
        <v/>
      </c>
    </row>
    <row r="29">
      <c r="D29" s="7" t="n">
        <v>54</v>
      </c>
      <c r="E29" s="7" t="n">
        <v>2050</v>
      </c>
      <c r="F29" s="8">
        <f>J28</f>
        <v/>
      </c>
      <c r="G29" s="8">
        <f>IF(D29&lt;$B$6, $B$8, 0)</f>
        <v/>
      </c>
      <c r="H29" s="8">
        <f>IF(D29&lt;$B$6, F29*$B$9, F29*$B$10)</f>
        <v/>
      </c>
      <c r="I29" s="8">
        <f>IF(D29&gt;=$B$6, $B$11, 0)</f>
        <v/>
      </c>
      <c r="J29" s="9">
        <f>F29+G29+H29-I29</f>
        <v/>
      </c>
    </row>
    <row r="30">
      <c r="D30" s="7" t="n">
        <v>55</v>
      </c>
      <c r="E30" s="7" t="n">
        <v>2051</v>
      </c>
      <c r="F30" s="8">
        <f>J29</f>
        <v/>
      </c>
      <c r="G30" s="8">
        <f>IF(D30&lt;$B$6, $B$8, 0)</f>
        <v/>
      </c>
      <c r="H30" s="8">
        <f>IF(D30&lt;$B$6, F30*$B$9, F30*$B$10)</f>
        <v/>
      </c>
      <c r="I30" s="8">
        <f>IF(D30&gt;=$B$6, $B$11, 0)</f>
        <v/>
      </c>
      <c r="J30" s="9">
        <f>F30+G30+H30-I30</f>
        <v/>
      </c>
    </row>
    <row r="31">
      <c r="D31" s="7" t="n">
        <v>56</v>
      </c>
      <c r="E31" s="7" t="n">
        <v>2052</v>
      </c>
      <c r="F31" s="8">
        <f>J30</f>
        <v/>
      </c>
      <c r="G31" s="8">
        <f>IF(D31&lt;$B$6, $B$8, 0)</f>
        <v/>
      </c>
      <c r="H31" s="8">
        <f>IF(D31&lt;$B$6, F31*$B$9, F31*$B$10)</f>
        <v/>
      </c>
      <c r="I31" s="8">
        <f>IF(D31&gt;=$B$6, $B$11, 0)</f>
        <v/>
      </c>
      <c r="J31" s="9">
        <f>F31+G31+H31-I31</f>
        <v/>
      </c>
    </row>
    <row r="32">
      <c r="D32" s="7" t="n">
        <v>57</v>
      </c>
      <c r="E32" s="7" t="n">
        <v>2053</v>
      </c>
      <c r="F32" s="8">
        <f>J31</f>
        <v/>
      </c>
      <c r="G32" s="8">
        <f>IF(D32&lt;$B$6, $B$8, 0)</f>
        <v/>
      </c>
      <c r="H32" s="8">
        <f>IF(D32&lt;$B$6, F32*$B$9, F32*$B$10)</f>
        <v/>
      </c>
      <c r="I32" s="8">
        <f>IF(D32&gt;=$B$6, $B$11, 0)</f>
        <v/>
      </c>
      <c r="J32" s="9">
        <f>F32+G32+H32-I32</f>
        <v/>
      </c>
    </row>
    <row r="33">
      <c r="D33" s="7" t="n">
        <v>58</v>
      </c>
      <c r="E33" s="7" t="n">
        <v>2054</v>
      </c>
      <c r="F33" s="8">
        <f>J32</f>
        <v/>
      </c>
      <c r="G33" s="8">
        <f>IF(D33&lt;$B$6, $B$8, 0)</f>
        <v/>
      </c>
      <c r="H33" s="8">
        <f>IF(D33&lt;$B$6, F33*$B$9, F33*$B$10)</f>
        <v/>
      </c>
      <c r="I33" s="8">
        <f>IF(D33&gt;=$B$6, $B$11, 0)</f>
        <v/>
      </c>
      <c r="J33" s="9">
        <f>F33+G33+H33-I33</f>
        <v/>
      </c>
    </row>
    <row r="34">
      <c r="D34" s="7" t="n">
        <v>59</v>
      </c>
      <c r="E34" s="7" t="n">
        <v>2055</v>
      </c>
      <c r="F34" s="8">
        <f>J33</f>
        <v/>
      </c>
      <c r="G34" s="8">
        <f>IF(D34&lt;$B$6, $B$8, 0)</f>
        <v/>
      </c>
      <c r="H34" s="8">
        <f>IF(D34&lt;$B$6, F34*$B$9, F34*$B$10)</f>
        <v/>
      </c>
      <c r="I34" s="8">
        <f>IF(D34&gt;=$B$6, $B$11, 0)</f>
        <v/>
      </c>
      <c r="J34" s="9">
        <f>F34+G34+H34-I34</f>
        <v/>
      </c>
    </row>
    <row r="35">
      <c r="D35" s="7" t="n">
        <v>60</v>
      </c>
      <c r="E35" s="7" t="n">
        <v>2056</v>
      </c>
      <c r="F35" s="8">
        <f>J34</f>
        <v/>
      </c>
      <c r="G35" s="8">
        <f>IF(D35&lt;$B$6, $B$8, 0)</f>
        <v/>
      </c>
      <c r="H35" s="8">
        <f>IF(D35&lt;$B$6, F35*$B$9, F35*$B$10)</f>
        <v/>
      </c>
      <c r="I35" s="8">
        <f>IF(D35&gt;=$B$6, $B$11, 0)</f>
        <v/>
      </c>
      <c r="J35" s="9">
        <f>F35+G35+H35-I35</f>
        <v/>
      </c>
    </row>
    <row r="36">
      <c r="D36" s="7" t="n">
        <v>61</v>
      </c>
      <c r="E36" s="7" t="n">
        <v>2057</v>
      </c>
      <c r="F36" s="8">
        <f>J35</f>
        <v/>
      </c>
      <c r="G36" s="8">
        <f>IF(D36&lt;$B$6, $B$8, 0)</f>
        <v/>
      </c>
      <c r="H36" s="8">
        <f>IF(D36&lt;$B$6, F36*$B$9, F36*$B$10)</f>
        <v/>
      </c>
      <c r="I36" s="8">
        <f>IF(D36&gt;=$B$6, $B$11, 0)</f>
        <v/>
      </c>
      <c r="J36" s="9">
        <f>F36+G36+H36-I36</f>
        <v/>
      </c>
    </row>
    <row r="37">
      <c r="D37" s="7" t="n">
        <v>62</v>
      </c>
      <c r="E37" s="7" t="n">
        <v>2058</v>
      </c>
      <c r="F37" s="8">
        <f>J36</f>
        <v/>
      </c>
      <c r="G37" s="8">
        <f>IF(D37&lt;$B$6, $B$8, 0)</f>
        <v/>
      </c>
      <c r="H37" s="8">
        <f>IF(D37&lt;$B$6, F37*$B$9, F37*$B$10)</f>
        <v/>
      </c>
      <c r="I37" s="8">
        <f>IF(D37&gt;=$B$6, $B$11, 0)</f>
        <v/>
      </c>
      <c r="J37" s="9">
        <f>F37+G37+H37-I37</f>
        <v/>
      </c>
    </row>
    <row r="38">
      <c r="D38" s="7" t="n">
        <v>63</v>
      </c>
      <c r="E38" s="7" t="n">
        <v>2059</v>
      </c>
      <c r="F38" s="8">
        <f>J37</f>
        <v/>
      </c>
      <c r="G38" s="8">
        <f>IF(D38&lt;$B$6, $B$8, 0)</f>
        <v/>
      </c>
      <c r="H38" s="8">
        <f>IF(D38&lt;$B$6, F38*$B$9, F38*$B$10)</f>
        <v/>
      </c>
      <c r="I38" s="8">
        <f>IF(D38&gt;=$B$6, $B$11, 0)</f>
        <v/>
      </c>
      <c r="J38" s="9">
        <f>F38+G38+H38-I38</f>
        <v/>
      </c>
    </row>
    <row r="39">
      <c r="D39" s="7" t="n">
        <v>64</v>
      </c>
      <c r="E39" s="7" t="n">
        <v>2060</v>
      </c>
      <c r="F39" s="8">
        <f>J38</f>
        <v/>
      </c>
      <c r="G39" s="8">
        <f>IF(D39&lt;$B$6, $B$8, 0)</f>
        <v/>
      </c>
      <c r="H39" s="8">
        <f>IF(D39&lt;$B$6, F39*$B$9, F39*$B$10)</f>
        <v/>
      </c>
      <c r="I39" s="8">
        <f>IF(D39&gt;=$B$6, $B$11, 0)</f>
        <v/>
      </c>
      <c r="J39" s="9">
        <f>F39+G39+H39-I39</f>
        <v/>
      </c>
    </row>
    <row r="40">
      <c r="D40" s="7" t="n">
        <v>65</v>
      </c>
      <c r="E40" s="7" t="n">
        <v>2061</v>
      </c>
      <c r="F40" s="8">
        <f>J39</f>
        <v/>
      </c>
      <c r="G40" s="8">
        <f>IF(D40&lt;$B$6, $B$8, 0)</f>
        <v/>
      </c>
      <c r="H40" s="8">
        <f>IF(D40&lt;$B$6, F40*$B$9, F40*$B$10)</f>
        <v/>
      </c>
      <c r="I40" s="8">
        <f>IF(D40&gt;=$B$6, $B$11, 0)</f>
        <v/>
      </c>
      <c r="J40" s="9">
        <f>F40+G40+H40-I40</f>
        <v/>
      </c>
    </row>
    <row r="41">
      <c r="D41" s="7" t="n">
        <v>66</v>
      </c>
      <c r="E41" s="7" t="n">
        <v>2062</v>
      </c>
      <c r="F41" s="8">
        <f>J40</f>
        <v/>
      </c>
      <c r="G41" s="8">
        <f>IF(D41&lt;$B$6, $B$8, 0)</f>
        <v/>
      </c>
      <c r="H41" s="8">
        <f>IF(D41&lt;$B$6, F41*$B$9, F41*$B$10)</f>
        <v/>
      </c>
      <c r="I41" s="8">
        <f>IF(D41&gt;=$B$6, $B$11, 0)</f>
        <v/>
      </c>
      <c r="J41" s="9">
        <f>F41+G41+H41-I41</f>
        <v/>
      </c>
    </row>
    <row r="42">
      <c r="D42" s="7" t="n">
        <v>67</v>
      </c>
      <c r="E42" s="7" t="n">
        <v>2063</v>
      </c>
      <c r="F42" s="8">
        <f>J41</f>
        <v/>
      </c>
      <c r="G42" s="8">
        <f>IF(D42&lt;$B$6, $B$8, 0)</f>
        <v/>
      </c>
      <c r="H42" s="8">
        <f>IF(D42&lt;$B$6, F42*$B$9, F42*$B$10)</f>
        <v/>
      </c>
      <c r="I42" s="8">
        <f>IF(D42&gt;=$B$6, $B$11, 0)</f>
        <v/>
      </c>
      <c r="J42" s="9">
        <f>F42+G42+H42-I42</f>
        <v/>
      </c>
    </row>
    <row r="43">
      <c r="D43" s="7" t="n">
        <v>68</v>
      </c>
      <c r="E43" s="7" t="n">
        <v>2064</v>
      </c>
      <c r="F43" s="8">
        <f>J42</f>
        <v/>
      </c>
      <c r="G43" s="8">
        <f>IF(D43&lt;$B$6, $B$8, 0)</f>
        <v/>
      </c>
      <c r="H43" s="8">
        <f>IF(D43&lt;$B$6, F43*$B$9, F43*$B$10)</f>
        <v/>
      </c>
      <c r="I43" s="8">
        <f>IF(D43&gt;=$B$6, $B$11, 0)</f>
        <v/>
      </c>
      <c r="J43" s="9">
        <f>F43+G43+H43-I43</f>
        <v/>
      </c>
    </row>
    <row r="44">
      <c r="D44" s="7" t="n">
        <v>69</v>
      </c>
      <c r="E44" s="7" t="n">
        <v>2065</v>
      </c>
      <c r="F44" s="8">
        <f>J43</f>
        <v/>
      </c>
      <c r="G44" s="8">
        <f>IF(D44&lt;$B$6, $B$8, 0)</f>
        <v/>
      </c>
      <c r="H44" s="8">
        <f>IF(D44&lt;$B$6, F44*$B$9, F44*$B$10)</f>
        <v/>
      </c>
      <c r="I44" s="8">
        <f>IF(D44&gt;=$B$6, $B$11, 0)</f>
        <v/>
      </c>
      <c r="J44" s="9">
        <f>F44+G44+H44-I44</f>
        <v/>
      </c>
    </row>
    <row r="45">
      <c r="D45" s="7" t="n">
        <v>70</v>
      </c>
      <c r="E45" s="7" t="n">
        <v>2066</v>
      </c>
      <c r="F45" s="8">
        <f>J44</f>
        <v/>
      </c>
      <c r="G45" s="8">
        <f>IF(D45&lt;$B$6, $B$8, 0)</f>
        <v/>
      </c>
      <c r="H45" s="8">
        <f>IF(D45&lt;$B$6, F45*$B$9, F45*$B$10)</f>
        <v/>
      </c>
      <c r="I45" s="8">
        <f>IF(D45&gt;=$B$6, $B$11, 0)</f>
        <v/>
      </c>
      <c r="J45" s="9">
        <f>F45+G45+H45-I45</f>
        <v/>
      </c>
    </row>
    <row r="46">
      <c r="D46" s="7" t="n">
        <v>71</v>
      </c>
      <c r="E46" s="7" t="n">
        <v>2067</v>
      </c>
      <c r="F46" s="8">
        <f>J45</f>
        <v/>
      </c>
      <c r="G46" s="8">
        <f>IF(D46&lt;$B$6, $B$8, 0)</f>
        <v/>
      </c>
      <c r="H46" s="8">
        <f>IF(D46&lt;$B$6, F46*$B$9, F46*$B$10)</f>
        <v/>
      </c>
      <c r="I46" s="8">
        <f>IF(D46&gt;=$B$6, $B$11, 0)</f>
        <v/>
      </c>
      <c r="J46" s="9">
        <f>F46+G46+H46-I46</f>
        <v/>
      </c>
    </row>
    <row r="47">
      <c r="D47" s="7" t="n">
        <v>72</v>
      </c>
      <c r="E47" s="7" t="n">
        <v>2068</v>
      </c>
      <c r="F47" s="8">
        <f>J46</f>
        <v/>
      </c>
      <c r="G47" s="8">
        <f>IF(D47&lt;$B$6, $B$8, 0)</f>
        <v/>
      </c>
      <c r="H47" s="8">
        <f>IF(D47&lt;$B$6, F47*$B$9, F47*$B$10)</f>
        <v/>
      </c>
      <c r="I47" s="8">
        <f>IF(D47&gt;=$B$6, $B$11, 0)</f>
        <v/>
      </c>
      <c r="J47" s="9">
        <f>F47+G47+H47-I47</f>
        <v/>
      </c>
    </row>
    <row r="48">
      <c r="D48" s="7" t="n">
        <v>73</v>
      </c>
      <c r="E48" s="7" t="n">
        <v>2069</v>
      </c>
      <c r="F48" s="8">
        <f>J47</f>
        <v/>
      </c>
      <c r="G48" s="8">
        <f>IF(D48&lt;$B$6, $B$8, 0)</f>
        <v/>
      </c>
      <c r="H48" s="8">
        <f>IF(D48&lt;$B$6, F48*$B$9, F48*$B$10)</f>
        <v/>
      </c>
      <c r="I48" s="8">
        <f>IF(D48&gt;=$B$6, $B$11, 0)</f>
        <v/>
      </c>
      <c r="J48" s="9">
        <f>F48+G48+H48-I48</f>
        <v/>
      </c>
    </row>
    <row r="49">
      <c r="D49" s="7" t="n">
        <v>74</v>
      </c>
      <c r="E49" s="7" t="n">
        <v>2070</v>
      </c>
      <c r="F49" s="8">
        <f>J48</f>
        <v/>
      </c>
      <c r="G49" s="8">
        <f>IF(D49&lt;$B$6, $B$8, 0)</f>
        <v/>
      </c>
      <c r="H49" s="8">
        <f>IF(D49&lt;$B$6, F49*$B$9, F49*$B$10)</f>
        <v/>
      </c>
      <c r="I49" s="8">
        <f>IF(D49&gt;=$B$6, $B$11, 0)</f>
        <v/>
      </c>
      <c r="J49" s="9">
        <f>F49+G49+H49-I49</f>
        <v/>
      </c>
    </row>
    <row r="50">
      <c r="D50" s="7" t="n">
        <v>75</v>
      </c>
      <c r="E50" s="7" t="n">
        <v>2071</v>
      </c>
      <c r="F50" s="8">
        <f>J49</f>
        <v/>
      </c>
      <c r="G50" s="8">
        <f>IF(D50&lt;$B$6, $B$8, 0)</f>
        <v/>
      </c>
      <c r="H50" s="8">
        <f>IF(D50&lt;$B$6, F50*$B$9, F50*$B$10)</f>
        <v/>
      </c>
      <c r="I50" s="8">
        <f>IF(D50&gt;=$B$6, $B$11, 0)</f>
        <v/>
      </c>
      <c r="J50" s="9">
        <f>F50+G50+H50-I50</f>
        <v/>
      </c>
    </row>
    <row r="51">
      <c r="D51" s="7" t="n">
        <v>76</v>
      </c>
      <c r="E51" s="7" t="n">
        <v>2072</v>
      </c>
      <c r="F51" s="8">
        <f>J50</f>
        <v/>
      </c>
      <c r="G51" s="8">
        <f>IF(D51&lt;$B$6, $B$8, 0)</f>
        <v/>
      </c>
      <c r="H51" s="8">
        <f>IF(D51&lt;$B$6, F51*$B$9, F51*$B$10)</f>
        <v/>
      </c>
      <c r="I51" s="8">
        <f>IF(D51&gt;=$B$6, $B$11, 0)</f>
        <v/>
      </c>
      <c r="J51" s="9">
        <f>F51+G51+H51-I51</f>
        <v/>
      </c>
    </row>
    <row r="52">
      <c r="D52" s="7" t="n">
        <v>77</v>
      </c>
      <c r="E52" s="7" t="n">
        <v>2073</v>
      </c>
      <c r="F52" s="8">
        <f>J51</f>
        <v/>
      </c>
      <c r="G52" s="8">
        <f>IF(D52&lt;$B$6, $B$8, 0)</f>
        <v/>
      </c>
      <c r="H52" s="8">
        <f>IF(D52&lt;$B$6, F52*$B$9, F52*$B$10)</f>
        <v/>
      </c>
      <c r="I52" s="8">
        <f>IF(D52&gt;=$B$6, $B$11, 0)</f>
        <v/>
      </c>
      <c r="J52" s="9">
        <f>F52+G52+H52-I52</f>
        <v/>
      </c>
    </row>
    <row r="53">
      <c r="D53" s="7" t="n">
        <v>78</v>
      </c>
      <c r="E53" s="7" t="n">
        <v>2074</v>
      </c>
      <c r="F53" s="8">
        <f>J52</f>
        <v/>
      </c>
      <c r="G53" s="8">
        <f>IF(D53&lt;$B$6, $B$8, 0)</f>
        <v/>
      </c>
      <c r="H53" s="8">
        <f>IF(D53&lt;$B$6, F53*$B$9, F53*$B$10)</f>
        <v/>
      </c>
      <c r="I53" s="8">
        <f>IF(D53&gt;=$B$6, $B$11, 0)</f>
        <v/>
      </c>
      <c r="J53" s="9">
        <f>F53+G53+H53-I53</f>
        <v/>
      </c>
    </row>
    <row r="54">
      <c r="D54" s="7" t="n">
        <v>79</v>
      </c>
      <c r="E54" s="7" t="n">
        <v>2075</v>
      </c>
      <c r="F54" s="8">
        <f>J53</f>
        <v/>
      </c>
      <c r="G54" s="8">
        <f>IF(D54&lt;$B$6, $B$8, 0)</f>
        <v/>
      </c>
      <c r="H54" s="8">
        <f>IF(D54&lt;$B$6, F54*$B$9, F54*$B$10)</f>
        <v/>
      </c>
      <c r="I54" s="8">
        <f>IF(D54&gt;=$B$6, $B$11, 0)</f>
        <v/>
      </c>
      <c r="J54" s="9">
        <f>F54+G54+H54-I54</f>
        <v/>
      </c>
    </row>
    <row r="55">
      <c r="D55" s="7" t="n">
        <v>80</v>
      </c>
      <c r="E55" s="7" t="n">
        <v>2076</v>
      </c>
      <c r="F55" s="8">
        <f>J54</f>
        <v/>
      </c>
      <c r="G55" s="8">
        <f>IF(D55&lt;$B$6, $B$8, 0)</f>
        <v/>
      </c>
      <c r="H55" s="8">
        <f>IF(D55&lt;$B$6, F55*$B$9, F55*$B$10)</f>
        <v/>
      </c>
      <c r="I55" s="8">
        <f>IF(D55&gt;=$B$6, $B$11, 0)</f>
        <v/>
      </c>
      <c r="J55" s="9">
        <f>F55+G55+H55-I55</f>
        <v/>
      </c>
    </row>
    <row r="56">
      <c r="D56" s="7" t="n">
        <v>81</v>
      </c>
      <c r="E56" s="7" t="n">
        <v>2077</v>
      </c>
      <c r="F56" s="8">
        <f>J55</f>
        <v/>
      </c>
      <c r="G56" s="8">
        <f>IF(D56&lt;$B$6, $B$8, 0)</f>
        <v/>
      </c>
      <c r="H56" s="8">
        <f>IF(D56&lt;$B$6, F56*$B$9, F56*$B$10)</f>
        <v/>
      </c>
      <c r="I56" s="8">
        <f>IF(D56&gt;=$B$6, $B$11, 0)</f>
        <v/>
      </c>
      <c r="J56" s="9">
        <f>F56+G56+H56-I56</f>
        <v/>
      </c>
    </row>
    <row r="57">
      <c r="D57" s="7" t="n">
        <v>82</v>
      </c>
      <c r="E57" s="7" t="n">
        <v>2078</v>
      </c>
      <c r="F57" s="8">
        <f>J56</f>
        <v/>
      </c>
      <c r="G57" s="8">
        <f>IF(D57&lt;$B$6, $B$8, 0)</f>
        <v/>
      </c>
      <c r="H57" s="8">
        <f>IF(D57&lt;$B$6, F57*$B$9, F57*$B$10)</f>
        <v/>
      </c>
      <c r="I57" s="8">
        <f>IF(D57&gt;=$B$6, $B$11, 0)</f>
        <v/>
      </c>
      <c r="J57" s="9">
        <f>F57+G57+H57-I57</f>
        <v/>
      </c>
    </row>
    <row r="58">
      <c r="D58" s="7" t="n">
        <v>83</v>
      </c>
      <c r="E58" s="7" t="n">
        <v>2079</v>
      </c>
      <c r="F58" s="8">
        <f>J57</f>
        <v/>
      </c>
      <c r="G58" s="8">
        <f>IF(D58&lt;$B$6, $B$8, 0)</f>
        <v/>
      </c>
      <c r="H58" s="8">
        <f>IF(D58&lt;$B$6, F58*$B$9, F58*$B$10)</f>
        <v/>
      </c>
      <c r="I58" s="8">
        <f>IF(D58&gt;=$B$6, $B$11, 0)</f>
        <v/>
      </c>
      <c r="J58" s="9">
        <f>F58+G58+H58-I58</f>
        <v/>
      </c>
    </row>
    <row r="59">
      <c r="D59" s="7" t="n">
        <v>84</v>
      </c>
      <c r="E59" s="7" t="n">
        <v>2080</v>
      </c>
      <c r="F59" s="8">
        <f>J58</f>
        <v/>
      </c>
      <c r="G59" s="8">
        <f>IF(D59&lt;$B$6, $B$8, 0)</f>
        <v/>
      </c>
      <c r="H59" s="8">
        <f>IF(D59&lt;$B$6, F59*$B$9, F59*$B$10)</f>
        <v/>
      </c>
      <c r="I59" s="8">
        <f>IF(D59&gt;=$B$6, $B$11, 0)</f>
        <v/>
      </c>
      <c r="J59" s="9">
        <f>F59+G59+H59-I59</f>
        <v/>
      </c>
    </row>
    <row r="60">
      <c r="D60" s="7" t="n">
        <v>85</v>
      </c>
      <c r="E60" s="7" t="n">
        <v>2081</v>
      </c>
      <c r="F60" s="8">
        <f>J59</f>
        <v/>
      </c>
      <c r="G60" s="8">
        <f>IF(D60&lt;$B$6, $B$8, 0)</f>
        <v/>
      </c>
      <c r="H60" s="8">
        <f>IF(D60&lt;$B$6, F60*$B$9, F60*$B$10)</f>
        <v/>
      </c>
      <c r="I60" s="8">
        <f>IF(D60&gt;=$B$6, $B$11, 0)</f>
        <v/>
      </c>
      <c r="J60" s="9">
        <f>F60+G60+H60-I60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2026-07-14T15:06:28Z</dcterms:created>
  <dcterms:modified xmlns:dcterms="http://purl.org/dc/terms/" xmlns:xsi="http://www.w3.org/2001/XMLSchema-instance" xsi:type="dcterms:W3CDTF">2026-07-14T15:06:28Z</dcterms:modified>
</cp:coreProperties>
</file>
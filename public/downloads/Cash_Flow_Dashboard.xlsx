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Cash Flow Engine" sheetId="2" state="visible" r:id="rId2"/>
    <sheet xmlns:r="http://schemas.openxmlformats.org/officeDocument/2006/relationships" name="Executiv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004B87"/>
      <sz val="14"/>
    </font>
    <font>
      <name val="Segoe UI"/>
      <color rgb="00111827"/>
      <sz val="11"/>
    </font>
    <font>
      <name val="Segoe UI"/>
      <b val="1"/>
      <color rgb="00FFFFFF"/>
      <sz val="11"/>
    </font>
    <font>
      <name val="Segoe U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F3F4F6"/>
        <bgColor rgb="00F3F4F6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4" borderId="1" pivotButton="0" quotePrefix="0" xfId="0"/>
    <xf numFmtId="164" fontId="6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6" fillId="3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4" borderId="2" pivotButton="0" quotePrefix="0" xfId="0"/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Trend - 12 Month Horizon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Engine'!$B$4:$M$4</f>
            </numRef>
          </cat>
          <val>
            <numRef>
              <f>'Cash Flow Engine'!$B$20:$M$20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87" customWidth="1" min="1" max="1"/>
  </cols>
  <sheetData>
    <row r="1"/>
    <row r="2">
      <c r="A2" s="1" t="inlineStr">
        <is>
          <t>FinTrack Prime - Cash Flow Dashboard</t>
        </is>
      </c>
    </row>
    <row r="3">
      <c r="A3" s="2" t="inlineStr">
        <is>
          <t>Corporate Cash Flow Statement &amp; Dynamic Forecast Engine</t>
        </is>
      </c>
    </row>
    <row r="4"/>
    <row r="5">
      <c r="A5" s="3" t="inlineStr">
        <is>
          <t>Instructions</t>
        </is>
      </c>
    </row>
    <row r="6">
      <c r="A6" s="4" t="inlineStr">
        <is>
          <t>1. Input your Beginning Cash Balance on the 'Cash Flow Engine' sheet.</t>
        </is>
      </c>
    </row>
    <row r="7">
      <c r="A7" s="4" t="inlineStr">
        <is>
          <t>2. Enter your Cash Inflows and Cash Outflows for each month.</t>
        </is>
      </c>
    </row>
    <row r="8">
      <c r="A8" s="4" t="inlineStr">
        <is>
          <t>3. Net Cash Flow and Ending Cash Balance will calculate automatically.</t>
        </is>
      </c>
    </row>
    <row r="9">
      <c r="A9" s="4" t="inlineStr">
        <is>
          <t>4. Review the 'Executive Dashboard' for professional trend lines and visual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/>
    <row r="2"/>
    <row r="3"/>
    <row r="4">
      <c r="A4" s="5" t="inlineStr">
        <is>
          <t>Cash Flow Metrics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5" t="inlineStr">
        <is>
          <t>Total</t>
        </is>
      </c>
    </row>
    <row r="5">
      <c r="A5" s="6" t="inlineStr">
        <is>
          <t>Beginning Cash Balance</t>
        </is>
      </c>
      <c r="B5" s="7" t="n">
        <v>50000</v>
      </c>
      <c r="C5" s="7">
        <f>B22</f>
        <v/>
      </c>
      <c r="D5" s="7">
        <f>C22</f>
        <v/>
      </c>
      <c r="E5" s="7">
        <f>D22</f>
        <v/>
      </c>
      <c r="F5" s="7">
        <f>E22</f>
        <v/>
      </c>
      <c r="G5" s="7">
        <f>F22</f>
        <v/>
      </c>
      <c r="H5" s="7">
        <f>G22</f>
        <v/>
      </c>
      <c r="I5" s="7">
        <f>H22</f>
        <v/>
      </c>
      <c r="J5" s="7">
        <f>I22</f>
        <v/>
      </c>
      <c r="K5" s="7">
        <f>J22</f>
        <v/>
      </c>
      <c r="L5" s="7">
        <f>K22</f>
        <v/>
      </c>
      <c r="M5" s="7">
        <f>L22</f>
        <v/>
      </c>
      <c r="N5" s="8" t="n"/>
    </row>
    <row r="6">
      <c r="A6" s="9" t="inlineStr">
        <is>
          <t>Cash Inflows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11" t="inlineStr">
        <is>
          <t>Operating Revenue</t>
        </is>
      </c>
      <c r="B7" s="12" t="n">
        <v>12000</v>
      </c>
      <c r="C7" s="12" t="n">
        <v>14000</v>
      </c>
      <c r="D7" s="12" t="n">
        <v>15000</v>
      </c>
      <c r="E7" s="12" t="n">
        <v>16000</v>
      </c>
      <c r="F7" s="12" t="n">
        <v>15500</v>
      </c>
      <c r="G7" s="12" t="n">
        <v>17000</v>
      </c>
      <c r="H7" s="12" t="n">
        <v>18000</v>
      </c>
      <c r="I7" s="12" t="n">
        <v>19000</v>
      </c>
      <c r="J7" s="12" t="n">
        <v>18500</v>
      </c>
      <c r="K7" s="12" t="n">
        <v>20000</v>
      </c>
      <c r="L7" s="12" t="n">
        <v>21000</v>
      </c>
      <c r="M7" s="12" t="n">
        <v>23000</v>
      </c>
      <c r="N7" s="13">
        <f>SUM(B7:M7)</f>
        <v/>
      </c>
    </row>
    <row r="8">
      <c r="A8" s="11" t="inlineStr">
        <is>
          <t>Investment Receipts</t>
        </is>
      </c>
      <c r="B8" s="12" t="n">
        <v>500</v>
      </c>
      <c r="C8" s="12" t="n">
        <v>500</v>
      </c>
      <c r="D8" s="12" t="n">
        <v>500</v>
      </c>
      <c r="E8" s="12" t="n">
        <v>600</v>
      </c>
      <c r="F8" s="12" t="n">
        <v>600</v>
      </c>
      <c r="G8" s="12" t="n">
        <v>600</v>
      </c>
      <c r="H8" s="12" t="n">
        <v>700</v>
      </c>
      <c r="I8" s="12" t="n">
        <v>700</v>
      </c>
      <c r="J8" s="12" t="n">
        <v>700</v>
      </c>
      <c r="K8" s="12" t="n">
        <v>800</v>
      </c>
      <c r="L8" s="12" t="n">
        <v>800</v>
      </c>
      <c r="M8" s="12" t="n">
        <v>800</v>
      </c>
      <c r="N8" s="13">
        <f>SUM(B8:M8)</f>
        <v/>
      </c>
    </row>
    <row r="9">
      <c r="A9" s="11" t="inlineStr">
        <is>
          <t>Other Inflows</t>
        </is>
      </c>
      <c r="B9" s="12" t="n">
        <v>1000</v>
      </c>
      <c r="C9" s="12" t="n">
        <v>0</v>
      </c>
      <c r="D9" s="12" t="n">
        <v>1500</v>
      </c>
      <c r="E9" s="12" t="n">
        <v>0</v>
      </c>
      <c r="F9" s="12" t="n">
        <v>2000</v>
      </c>
      <c r="G9" s="12" t="n">
        <v>0</v>
      </c>
      <c r="H9" s="12" t="n">
        <v>1000</v>
      </c>
      <c r="I9" s="12" t="n">
        <v>0</v>
      </c>
      <c r="J9" s="12" t="n">
        <v>1500</v>
      </c>
      <c r="K9" s="12" t="n">
        <v>0</v>
      </c>
      <c r="L9" s="12" t="n">
        <v>2500</v>
      </c>
      <c r="M9" s="12" t="n">
        <v>0</v>
      </c>
      <c r="N9" s="13">
        <f>SUM(B9:M9)</f>
        <v/>
      </c>
    </row>
    <row r="10">
      <c r="A10" s="6" t="inlineStr">
        <is>
          <t>Total Cash Inflows</t>
        </is>
      </c>
      <c r="B10" s="7">
        <f>SUM(B7:B9)</f>
        <v/>
      </c>
      <c r="C10" s="7">
        <f>SUM(C7:C9)</f>
        <v/>
      </c>
      <c r="D10" s="7">
        <f>SUM(D7:D9)</f>
        <v/>
      </c>
      <c r="E10" s="7">
        <f>SUM(E7:E9)</f>
        <v/>
      </c>
      <c r="F10" s="7">
        <f>SUM(F7:F9)</f>
        <v/>
      </c>
      <c r="G10" s="7">
        <f>SUM(G7:G9)</f>
        <v/>
      </c>
      <c r="H10" s="7">
        <f>SUM(H7:H9)</f>
        <v/>
      </c>
      <c r="I10" s="7">
        <f>SUM(I7:I9)</f>
        <v/>
      </c>
      <c r="J10" s="7">
        <f>SUM(J7:J9)</f>
        <v/>
      </c>
      <c r="K10" s="7">
        <f>SUM(K7:K9)</f>
        <v/>
      </c>
      <c r="L10" s="7">
        <f>SUM(L7:L9)</f>
        <v/>
      </c>
      <c r="M10" s="7">
        <f>SUM(M7:M9)</f>
        <v/>
      </c>
      <c r="N10" s="7">
        <f>SUM(B10:M10)</f>
        <v/>
      </c>
    </row>
    <row r="11">
      <c r="A11" s="14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inlineStr">
        <is>
          <t>Cash Outflows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Cost of Goods Sold (COGS)</t>
        </is>
      </c>
      <c r="B13" s="12" t="n">
        <v>4000</v>
      </c>
      <c r="C13" s="12" t="n">
        <v>4500</v>
      </c>
      <c r="D13" s="12" t="n">
        <v>4800</v>
      </c>
      <c r="E13" s="12" t="n">
        <v>5100</v>
      </c>
      <c r="F13" s="12" t="n">
        <v>5000</v>
      </c>
      <c r="G13" s="12" t="n">
        <v>5300</v>
      </c>
      <c r="H13" s="12" t="n">
        <v>5600</v>
      </c>
      <c r="I13" s="12" t="n">
        <v>5900</v>
      </c>
      <c r="J13" s="12" t="n">
        <v>5800</v>
      </c>
      <c r="K13" s="12" t="n">
        <v>6200</v>
      </c>
      <c r="L13" s="12" t="n">
        <v>6500</v>
      </c>
      <c r="M13" s="12" t="n">
        <v>7000</v>
      </c>
      <c r="N13" s="13">
        <f>SUM(B13:M13)</f>
        <v/>
      </c>
    </row>
    <row r="14">
      <c r="A14" s="11" t="inlineStr">
        <is>
          <t>Salaries &amp; Wages</t>
        </is>
      </c>
      <c r="B14" s="12" t="n">
        <v>5000</v>
      </c>
      <c r="C14" s="12" t="n">
        <v>5000</v>
      </c>
      <c r="D14" s="12" t="n">
        <v>5000</v>
      </c>
      <c r="E14" s="12" t="n">
        <v>5200</v>
      </c>
      <c r="F14" s="12" t="n">
        <v>5200</v>
      </c>
      <c r="G14" s="12" t="n">
        <v>5200</v>
      </c>
      <c r="H14" s="12" t="n">
        <v>5500</v>
      </c>
      <c r="I14" s="12" t="n">
        <v>5500</v>
      </c>
      <c r="J14" s="12" t="n">
        <v>5500</v>
      </c>
      <c r="K14" s="12" t="n">
        <v>5800</v>
      </c>
      <c r="L14" s="12" t="n">
        <v>5800</v>
      </c>
      <c r="M14" s="12" t="n">
        <v>6000</v>
      </c>
      <c r="N14" s="13">
        <f>SUM(B14:M14)</f>
        <v/>
      </c>
    </row>
    <row r="15">
      <c r="A15" s="11" t="inlineStr">
        <is>
          <t>Marketing &amp; Advertising</t>
        </is>
      </c>
      <c r="B15" s="12" t="n">
        <v>800</v>
      </c>
      <c r="C15" s="12" t="n">
        <v>1200</v>
      </c>
      <c r="D15" s="12" t="n">
        <v>1000</v>
      </c>
      <c r="E15" s="12" t="n">
        <v>1500</v>
      </c>
      <c r="F15" s="12" t="n">
        <v>1200</v>
      </c>
      <c r="G15" s="12" t="n">
        <v>1500</v>
      </c>
      <c r="H15" s="12" t="n">
        <v>1800</v>
      </c>
      <c r="I15" s="12" t="n">
        <v>1400</v>
      </c>
      <c r="J15" s="12" t="n">
        <v>1600</v>
      </c>
      <c r="K15" s="12" t="n">
        <v>2000</v>
      </c>
      <c r="L15" s="12" t="n">
        <v>2500</v>
      </c>
      <c r="M15" s="12" t="n">
        <v>3000</v>
      </c>
      <c r="N15" s="13">
        <f>SUM(B15:M15)</f>
        <v/>
      </c>
    </row>
    <row r="16">
      <c r="A16" s="11" t="inlineStr">
        <is>
          <t>Rent &amp; Utilities</t>
        </is>
      </c>
      <c r="B16" s="12" t="n">
        <v>2100</v>
      </c>
      <c r="C16" s="12" t="n">
        <v>2100</v>
      </c>
      <c r="D16" s="12" t="n">
        <v>2100</v>
      </c>
      <c r="E16" s="12" t="n">
        <v>2150</v>
      </c>
      <c r="F16" s="12" t="n">
        <v>2150</v>
      </c>
      <c r="G16" s="12" t="n">
        <v>2150</v>
      </c>
      <c r="H16" s="12" t="n">
        <v>2200</v>
      </c>
      <c r="I16" s="12" t="n">
        <v>2200</v>
      </c>
      <c r="J16" s="12" t="n">
        <v>2200</v>
      </c>
      <c r="K16" s="12" t="n">
        <v>2250</v>
      </c>
      <c r="L16" s="12" t="n">
        <v>2250</v>
      </c>
      <c r="M16" s="12" t="n">
        <v>2250</v>
      </c>
      <c r="N16" s="13">
        <f>SUM(B16:M16)</f>
        <v/>
      </c>
    </row>
    <row r="17">
      <c r="A17" s="11" t="inlineStr">
        <is>
          <t>Taxes &amp; Licensing</t>
        </is>
      </c>
      <c r="B17" s="12" t="n">
        <v>1200</v>
      </c>
      <c r="C17" s="12" t="n">
        <v>0</v>
      </c>
      <c r="D17" s="12" t="n">
        <v>0</v>
      </c>
      <c r="E17" s="12" t="n">
        <v>1500</v>
      </c>
      <c r="F17" s="12" t="n">
        <v>0</v>
      </c>
      <c r="G17" s="12" t="n">
        <v>0</v>
      </c>
      <c r="H17" s="12" t="n">
        <v>1800</v>
      </c>
      <c r="I17" s="12" t="n">
        <v>0</v>
      </c>
      <c r="J17" s="12" t="n">
        <v>0</v>
      </c>
      <c r="K17" s="12" t="n">
        <v>2200</v>
      </c>
      <c r="L17" s="12" t="n">
        <v>0</v>
      </c>
      <c r="M17" s="12" t="n">
        <v>0</v>
      </c>
      <c r="N17" s="13">
        <f>SUM(B17:M17)</f>
        <v/>
      </c>
    </row>
    <row r="18">
      <c r="A18" s="6" t="inlineStr">
        <is>
          <t>Total Cash Outflows</t>
        </is>
      </c>
      <c r="B18" s="7">
        <f>SUM(B13:B17)</f>
        <v/>
      </c>
      <c r="C18" s="7">
        <f>SUM(C13:C17)</f>
        <v/>
      </c>
      <c r="D18" s="7">
        <f>SUM(D13:D17)</f>
        <v/>
      </c>
      <c r="E18" s="7">
        <f>SUM(E13:E17)</f>
        <v/>
      </c>
      <c r="F18" s="7">
        <f>SUM(F13:F17)</f>
        <v/>
      </c>
      <c r="G18" s="7">
        <f>SUM(G13:G17)</f>
        <v/>
      </c>
      <c r="H18" s="7">
        <f>SUM(H13:H17)</f>
        <v/>
      </c>
      <c r="I18" s="7">
        <f>SUM(I13:I17)</f>
        <v/>
      </c>
      <c r="J18" s="7">
        <f>SUM(J13:J17)</f>
        <v/>
      </c>
      <c r="K18" s="7">
        <f>SUM(K13:K17)</f>
        <v/>
      </c>
      <c r="L18" s="7">
        <f>SUM(L13:L17)</f>
        <v/>
      </c>
      <c r="M18" s="7">
        <f>SUM(M13:M17)</f>
        <v/>
      </c>
      <c r="N18" s="7">
        <f>SUM(B18:M18)</f>
        <v/>
      </c>
    </row>
    <row r="19">
      <c r="A19" s="14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15" t="inlineStr">
        <is>
          <t>Net Cash Flow</t>
        </is>
      </c>
      <c r="B20" s="16">
        <f>B10-B18</f>
        <v/>
      </c>
      <c r="C20" s="16">
        <f>C10-C18</f>
        <v/>
      </c>
      <c r="D20" s="16">
        <f>D10-D18</f>
        <v/>
      </c>
      <c r="E20" s="16">
        <f>E10-E18</f>
        <v/>
      </c>
      <c r="F20" s="16">
        <f>F10-F18</f>
        <v/>
      </c>
      <c r="G20" s="16">
        <f>G10-G18</f>
        <v/>
      </c>
      <c r="H20" s="16">
        <f>H10-H18</f>
        <v/>
      </c>
      <c r="I20" s="16">
        <f>I10-I18</f>
        <v/>
      </c>
      <c r="J20" s="16">
        <f>J10-J18</f>
        <v/>
      </c>
      <c r="K20" s="16">
        <f>K10-K18</f>
        <v/>
      </c>
      <c r="L20" s="16">
        <f>L10-L18</f>
        <v/>
      </c>
      <c r="M20" s="16">
        <f>M10-M18</f>
        <v/>
      </c>
      <c r="N20" s="16">
        <f>SUM(B20:M20)</f>
        <v/>
      </c>
    </row>
    <row r="21">
      <c r="A21" s="14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15" t="inlineStr">
        <is>
          <t>Ending Cash Balance</t>
        </is>
      </c>
      <c r="B22" s="16">
        <f>B5+B20</f>
        <v/>
      </c>
      <c r="C22" s="16">
        <f>C5+C20</f>
        <v/>
      </c>
      <c r="D22" s="16">
        <f>D5+D20</f>
        <v/>
      </c>
      <c r="E22" s="16">
        <f>E5+E20</f>
        <v/>
      </c>
      <c r="F22" s="16">
        <f>F5+F20</f>
        <v/>
      </c>
      <c r="G22" s="16">
        <f>G5+G20</f>
        <v/>
      </c>
      <c r="H22" s="16">
        <f>H5+H20</f>
        <v/>
      </c>
      <c r="I22" s="16">
        <f>I5+I20</f>
        <v/>
      </c>
      <c r="J22" s="16">
        <f>J5+J20</f>
        <v/>
      </c>
      <c r="K22" s="16">
        <f>K5+K20</f>
        <v/>
      </c>
      <c r="L22" s="16">
        <f>L5+L20</f>
        <v/>
      </c>
      <c r="M22" s="16">
        <f>M5+M20</f>
        <v/>
      </c>
      <c r="N22" s="16">
        <f>M22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7" customWidth="1" min="2" max="2"/>
  </cols>
  <sheetData>
    <row r="1"/>
    <row r="2">
      <c r="A2" s="1" t="inlineStr">
        <is>
          <t>Executive Cash Flow Dashboard</t>
        </is>
      </c>
    </row>
    <row r="3"/>
    <row r="4">
      <c r="A4" s="9" t="inlineStr">
        <is>
          <t>Total Annual Inflows</t>
        </is>
      </c>
      <c r="B4" s="13">
        <f>'Cash Flow Engine'!N10</f>
        <v/>
      </c>
    </row>
    <row r="5">
      <c r="A5" s="9" t="inlineStr">
        <is>
          <t>Total Annual Outflows</t>
        </is>
      </c>
      <c r="B5" s="13">
        <f>'Cash Flow Engine'!N18</f>
        <v/>
      </c>
    </row>
    <row r="6">
      <c r="A6" s="9" t="inlineStr">
        <is>
          <t>Net Annual Cash Flow</t>
        </is>
      </c>
      <c r="B6" s="13">
        <f>'Cash Flow Engine'!N20</f>
        <v/>
      </c>
    </row>
    <row r="7">
      <c r="A7" s="9" t="inlineStr">
        <is>
          <t>Ending Cash Balance (YTD)</t>
        </is>
      </c>
      <c r="B7" s="13">
        <f>'Cash Flow Engine'!N22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2026-07-14T14:59:00Z</dcterms:created>
  <dcterms:modified xmlns:dcterms="http://purl.org/dc/terms/" xmlns:xsi="http://www.w3.org/2001/XMLSchema-instance" xsi:type="dcterms:W3CDTF">2026-07-14T14:59:00Z</dcterms:modified>
</cp:coreProperties>
</file>